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office.accenture.com/personal/robert_lavender_accenture_com/Documents/Downloads/"/>
    </mc:Choice>
  </mc:AlternateContent>
  <xr:revisionPtr revIDLastSave="88" documentId="11_4DB9A7096F9063F84A11A2A2C79D557711FE39F8" xr6:coauthVersionLast="47" xr6:coauthVersionMax="47" xr10:uidLastSave="{A4F21247-6097-4591-AAB6-FBDC62D83303}"/>
  <bookViews>
    <workbookView xWindow="600" yWindow="-16020" windowWidth="27930" windowHeight="15330" xr2:uid="{00000000-000D-0000-FFFF-FFFF00000000}"/>
  </bookViews>
  <sheets>
    <sheet name="Dash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  <c r="B43" i="1"/>
</calcChain>
</file>

<file path=xl/sharedStrings.xml><?xml version="1.0" encoding="utf-8"?>
<sst xmlns="http://schemas.openxmlformats.org/spreadsheetml/2006/main" count="61" uniqueCount="35">
  <si>
    <t>Investments (Pension, ISA, Crypto, Shares)</t>
  </si>
  <si>
    <t>Category</t>
  </si>
  <si>
    <t>Total (£)</t>
  </si>
  <si>
    <t>Notes</t>
  </si>
  <si>
    <t>Summary Dashboard</t>
  </si>
  <si>
    <t>Total Assets (£)</t>
  </si>
  <si>
    <t>Total Liabilities (£)</t>
  </si>
  <si>
    <t>Net Worth (£)</t>
  </si>
  <si>
    <t>Total Income (£)</t>
  </si>
  <si>
    <t>Total Savings (£)</t>
  </si>
  <si>
    <t>Savings Rate</t>
  </si>
  <si>
    <t>Rob (£)</t>
  </si>
  <si>
    <t>Mary (£)</t>
  </si>
  <si>
    <t>Shares</t>
  </si>
  <si>
    <t>Crypto</t>
  </si>
  <si>
    <t>Savings</t>
  </si>
  <si>
    <t>Pension</t>
  </si>
  <si>
    <t>Mortgage</t>
  </si>
  <si>
    <t>Car loan</t>
  </si>
  <si>
    <t>Income</t>
  </si>
  <si>
    <t>Investments</t>
  </si>
  <si>
    <t>Conscious Spending Plan</t>
  </si>
  <si>
    <t>Assets</t>
  </si>
  <si>
    <t>Total debt</t>
  </si>
  <si>
    <t>Net Worth</t>
  </si>
  <si>
    <t>Debt Overview</t>
  </si>
  <si>
    <t>Savings Emergency fund</t>
  </si>
  <si>
    <t>Savings Goals</t>
  </si>
  <si>
    <t>Holiday fund</t>
  </si>
  <si>
    <t>Christmas fund</t>
  </si>
  <si>
    <t>Raphie Japan trip</t>
  </si>
  <si>
    <t>Fixed costs 50-60%</t>
  </si>
  <si>
    <t>Investments 10-15%</t>
  </si>
  <si>
    <t>Savings goals 5-10%</t>
  </si>
  <si>
    <t>Guilt-free spending 20-35%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</si>
</sst>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/>
    <xf numFmtId="10" fontId="0" fillId="0" borderId="0" xfId="0" applyNumberFormat="1"/>
    <xf numFmtId="0" fontId="1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Spending Breakdown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Dashboard!$A$33:$A$37</c:f>
              <c:strCache>
                <c:ptCount val="5"/>
                <c:pt idx="0">
                  <c:v>Category</c:v>
                </c:pt>
                <c:pt idx="1">
                  <c:v>Fixed costs 50-60%</c:v>
                </c:pt>
                <c:pt idx="2">
                  <c:v>Investments 10-15%</c:v>
                </c:pt>
                <c:pt idx="3">
                  <c:v>Savings goals 5-10%</c:v>
                </c:pt>
                <c:pt idx="4">
                  <c:v>Guilt-free spending 20-35%</c:v>
                </c:pt>
              </c:strCache>
            </c:strRef>
          </c:cat>
          <c:val>
            <c:numRef>
              <c:f>Dashboard!$B$33:$B$37</c:f>
              <c:numCache>
                <c:formatCode>General</c:formatCode>
                <c:ptCount val="5"/>
                <c:pt idx="0">
                  <c:v>0</c:v>
                </c:pt>
                <c:pt idx="1">
                  <c:v>1854</c:v>
                </c:pt>
                <c:pt idx="2">
                  <c:v>260</c:v>
                </c:pt>
                <c:pt idx="3">
                  <c:v>190</c:v>
                </c:pt>
                <c:pt idx="4">
                  <c:v>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F-44C6-9F1E-80B525271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Goal Progress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Goal Progress</c:v>
          </c:tx>
          <c:invertIfNegative val="0"/>
          <c:cat>
            <c:strRef>
              <c:f>Dashboard!$A$38:$A$42</c:f>
              <c:strCache>
                <c:ptCount val="5"/>
                <c:pt idx="2">
                  <c:v>Summary Dashboard</c:v>
                </c:pt>
                <c:pt idx="3">
                  <c:v>Total Assets (£)</c:v>
                </c:pt>
                <c:pt idx="4">
                  <c:v>Total Liabilities (£)</c:v>
                </c:pt>
              </c:strCache>
            </c:strRef>
          </c:cat>
          <c:val>
            <c:numRef>
              <c:f>Dashboard!$B$38:$B$42</c:f>
              <c:numCache>
                <c:formatCode>General</c:formatCode>
                <c:ptCount val="5"/>
                <c:pt idx="3">
                  <c:v>701000</c:v>
                </c:pt>
                <c:pt idx="4">
                  <c:v>173000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2-4870-9FD0-39C152189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4</xdr:row>
      <xdr:rowOff>19050</xdr:rowOff>
    </xdr:from>
    <xdr:to>
      <xdr:col>14</xdr:col>
      <xdr:colOff>342900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21</xdr:row>
      <xdr:rowOff>104775</xdr:rowOff>
    </xdr:from>
    <xdr:to>
      <xdr:col>14</xdr:col>
      <xdr:colOff>333375</xdr:colOff>
      <xdr:row>34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topLeftCell="A12" workbookViewId="0">
      <selection activeCell="B46" sqref="B46"/>
    </sheetView>
  </sheetViews>
  <sheetFormatPr defaultRowHeight="14.4" x14ac:dyDescent="0.3"/>
  <cols>
    <col min="1" max="1" width="25.6640625" customWidth="1"/>
    <col min="5" max="6" width="14" customWidth="1"/>
  </cols>
  <sheetData>
    <row r="1" spans="1:6" ht="18" x14ac:dyDescent="0.35">
      <c r="A1" s="3" t="s">
        <v>19</v>
      </c>
      <c r="B1" s="3"/>
      <c r="C1" s="3"/>
      <c r="D1" s="3"/>
      <c r="E1" s="3"/>
      <c r="F1" s="3"/>
    </row>
    <row r="2" spans="1:6" x14ac:dyDescent="0.3">
      <c r="A2" s="1" t="s">
        <v>1</v>
      </c>
      <c r="B2" s="1" t="s">
        <v>11</v>
      </c>
      <c r="C2" s="1" t="s">
        <v>12</v>
      </c>
      <c r="D2" s="1" t="s">
        <v>2</v>
      </c>
      <c r="E2" s="1" t="s">
        <v>3</v>
      </c>
    </row>
    <row r="3" spans="1:6" x14ac:dyDescent="0.3">
      <c r="A3" t="s">
        <v>19</v>
      </c>
      <c r="B3">
        <v>3500</v>
      </c>
      <c r="C3">
        <v>2500</v>
      </c>
      <c r="D3">
        <v>6000</v>
      </c>
    </row>
    <row r="5" spans="1:6" ht="18" x14ac:dyDescent="0.35">
      <c r="A5" s="3" t="s">
        <v>0</v>
      </c>
      <c r="B5" s="3"/>
      <c r="C5" s="3"/>
      <c r="D5" s="3"/>
      <c r="E5" s="3"/>
      <c r="F5" s="3"/>
    </row>
    <row r="6" spans="1:6" x14ac:dyDescent="0.3">
      <c r="A6" s="1" t="s">
        <v>1</v>
      </c>
      <c r="B6" s="1" t="s">
        <v>11</v>
      </c>
      <c r="C6" s="1" t="s">
        <v>12</v>
      </c>
      <c r="D6" s="1" t="s">
        <v>2</v>
      </c>
      <c r="E6" s="1" t="s">
        <v>3</v>
      </c>
    </row>
    <row r="7" spans="1:6" x14ac:dyDescent="0.3">
      <c r="A7" t="s">
        <v>13</v>
      </c>
      <c r="B7">
        <v>7000</v>
      </c>
      <c r="D7">
        <v>7000</v>
      </c>
    </row>
    <row r="8" spans="1:6" x14ac:dyDescent="0.3">
      <c r="A8" t="s">
        <v>14</v>
      </c>
      <c r="B8">
        <v>4000</v>
      </c>
      <c r="D8">
        <v>4000</v>
      </c>
    </row>
    <row r="9" spans="1:6" x14ac:dyDescent="0.3">
      <c r="A9" t="s">
        <v>16</v>
      </c>
      <c r="B9" s="4">
        <v>30000</v>
      </c>
      <c r="C9" s="4">
        <v>100000</v>
      </c>
      <c r="D9">
        <v>130000</v>
      </c>
    </row>
    <row r="11" spans="1:6" ht="18" x14ac:dyDescent="0.35">
      <c r="A11" s="3" t="s">
        <v>27</v>
      </c>
      <c r="B11" s="3"/>
      <c r="C11" s="3"/>
      <c r="D11" s="3"/>
      <c r="E11" s="3"/>
      <c r="F11" s="3"/>
    </row>
    <row r="12" spans="1:6" x14ac:dyDescent="0.3">
      <c r="A12" s="1" t="s">
        <v>1</v>
      </c>
      <c r="B12" s="1" t="s">
        <v>11</v>
      </c>
      <c r="C12" s="1" t="s">
        <v>12</v>
      </c>
      <c r="D12" s="1" t="s">
        <v>2</v>
      </c>
      <c r="E12" s="1" t="s">
        <v>3</v>
      </c>
    </row>
    <row r="13" spans="1:6" x14ac:dyDescent="0.3">
      <c r="A13" t="s">
        <v>26</v>
      </c>
      <c r="C13">
        <v>10000</v>
      </c>
      <c r="D13">
        <v>10000</v>
      </c>
    </row>
    <row r="14" spans="1:6" x14ac:dyDescent="0.3">
      <c r="A14" t="s">
        <v>28</v>
      </c>
    </row>
    <row r="15" spans="1:6" x14ac:dyDescent="0.3">
      <c r="A15" t="s">
        <v>29</v>
      </c>
    </row>
    <row r="16" spans="1:6" x14ac:dyDescent="0.3">
      <c r="A16" t="s">
        <v>30</v>
      </c>
    </row>
    <row r="18" spans="1:6" ht="18" x14ac:dyDescent="0.35">
      <c r="A18" s="3" t="s">
        <v>25</v>
      </c>
      <c r="B18" s="3"/>
      <c r="C18" s="3"/>
      <c r="D18" s="3"/>
      <c r="E18" s="3"/>
      <c r="F18" s="3"/>
    </row>
    <row r="19" spans="1:6" x14ac:dyDescent="0.3">
      <c r="A19" s="1" t="s">
        <v>1</v>
      </c>
      <c r="B19" s="1" t="s">
        <v>11</v>
      </c>
      <c r="C19" s="1" t="s">
        <v>12</v>
      </c>
      <c r="D19" s="1" t="s">
        <v>2</v>
      </c>
      <c r="E19" s="1" t="s">
        <v>3</v>
      </c>
    </row>
    <row r="20" spans="1:6" x14ac:dyDescent="0.3">
      <c r="A20" t="s">
        <v>17</v>
      </c>
      <c r="D20">
        <v>170000</v>
      </c>
    </row>
    <row r="21" spans="1:6" x14ac:dyDescent="0.3">
      <c r="A21" t="s">
        <v>18</v>
      </c>
      <c r="D21">
        <v>3000</v>
      </c>
    </row>
    <row r="25" spans="1:6" ht="18" x14ac:dyDescent="0.35">
      <c r="A25" s="3" t="s">
        <v>24</v>
      </c>
      <c r="B25" s="3"/>
      <c r="C25" s="3"/>
      <c r="D25" s="3"/>
      <c r="E25" s="3"/>
      <c r="F25" s="3"/>
    </row>
    <row r="26" spans="1:6" x14ac:dyDescent="0.3">
      <c r="A26" s="1" t="s">
        <v>1</v>
      </c>
      <c r="B26" s="1" t="s">
        <v>11</v>
      </c>
      <c r="C26" s="1" t="s">
        <v>12</v>
      </c>
      <c r="D26" s="1" t="s">
        <v>2</v>
      </c>
      <c r="E26" s="1" t="s">
        <v>3</v>
      </c>
    </row>
    <row r="27" spans="1:6" x14ac:dyDescent="0.3">
      <c r="A27" t="s">
        <v>22</v>
      </c>
      <c r="D27">
        <v>550000</v>
      </c>
    </row>
    <row r="28" spans="1:6" x14ac:dyDescent="0.3">
      <c r="A28" t="s">
        <v>20</v>
      </c>
      <c r="D28">
        <v>141000</v>
      </c>
    </row>
    <row r="29" spans="1:6" x14ac:dyDescent="0.3">
      <c r="A29" t="s">
        <v>15</v>
      </c>
      <c r="D29">
        <v>10000</v>
      </c>
    </row>
    <row r="30" spans="1:6" x14ac:dyDescent="0.3">
      <c r="A30" t="s">
        <v>23</v>
      </c>
      <c r="D30">
        <v>173000</v>
      </c>
    </row>
    <row r="32" spans="1:6" ht="18" x14ac:dyDescent="0.35">
      <c r="A32" s="3" t="s">
        <v>21</v>
      </c>
      <c r="B32" s="3"/>
      <c r="C32" s="3"/>
      <c r="D32" s="3"/>
      <c r="E32" s="3"/>
      <c r="F32" s="3"/>
    </row>
    <row r="33" spans="1:5" x14ac:dyDescent="0.3">
      <c r="A33" s="1" t="s">
        <v>1</v>
      </c>
      <c r="B33" s="1" t="s">
        <v>11</v>
      </c>
      <c r="C33" s="1" t="s">
        <v>12</v>
      </c>
      <c r="D33" s="1" t="s">
        <v>2</v>
      </c>
      <c r="E33" s="1" t="s">
        <v>3</v>
      </c>
    </row>
    <row r="34" spans="1:5" x14ac:dyDescent="0.3">
      <c r="A34" t="s">
        <v>31</v>
      </c>
      <c r="B34">
        <v>1854</v>
      </c>
    </row>
    <row r="35" spans="1:5" x14ac:dyDescent="0.3">
      <c r="A35" t="s">
        <v>32</v>
      </c>
      <c r="B35">
        <v>260</v>
      </c>
    </row>
    <row r="36" spans="1:5" x14ac:dyDescent="0.3">
      <c r="A36" t="s">
        <v>33</v>
      </c>
      <c r="B36">
        <v>190</v>
      </c>
    </row>
    <row r="37" spans="1:5" x14ac:dyDescent="0.3">
      <c r="A37" t="s">
        <v>34</v>
      </c>
      <c r="B37">
        <v>940</v>
      </c>
    </row>
    <row r="40" spans="1:5" ht="18" x14ac:dyDescent="0.35">
      <c r="A40" s="3" t="s">
        <v>4</v>
      </c>
      <c r="B40" s="3"/>
      <c r="C40" s="3"/>
      <c r="D40" s="3"/>
      <c r="E40" s="3"/>
    </row>
    <row r="41" spans="1:5" x14ac:dyDescent="0.3">
      <c r="A41" s="1" t="s">
        <v>5</v>
      </c>
      <c r="B41">
        <v>701000</v>
      </c>
    </row>
    <row r="42" spans="1:5" x14ac:dyDescent="0.3">
      <c r="A42" s="1" t="s">
        <v>6</v>
      </c>
      <c r="B42">
        <v>173000</v>
      </c>
    </row>
    <row r="43" spans="1:5" x14ac:dyDescent="0.3">
      <c r="A43" s="1" t="s">
        <v>7</v>
      </c>
      <c r="B43">
        <f>B41-B42</f>
        <v>528000</v>
      </c>
    </row>
    <row r="45" spans="1:5" x14ac:dyDescent="0.3">
      <c r="A45" s="1" t="s">
        <v>8</v>
      </c>
      <c r="B45">
        <v>6000</v>
      </c>
    </row>
    <row r="46" spans="1:5" x14ac:dyDescent="0.3">
      <c r="A46" s="1" t="s">
        <v>9</v>
      </c>
    </row>
    <row r="47" spans="1:5" x14ac:dyDescent="0.3">
      <c r="A47" s="1" t="s">
        <v>10</v>
      </c>
      <c r="B47" s="2" t="e">
        <f>B45/B44</f>
        <v>#DIV/0!</v>
      </c>
    </row>
  </sheetData>
  <mergeCells count="7">
    <mergeCell ref="A40:E40"/>
    <mergeCell ref="A1:F1"/>
    <mergeCell ref="A5:F5"/>
    <mergeCell ref="A11:F11"/>
    <mergeCell ref="A18:F18"/>
    <mergeCell ref="A25:F25"/>
    <mergeCell ref="A32:F3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Lavender, Robert</cp:lastModifiedBy>
  <dcterms:created xsi:type="dcterms:W3CDTF">2025-12-03T16:40:56Z</dcterms:created>
  <dcterms:modified xsi:type="dcterms:W3CDTF">2025-12-03T17:05:07Z</dcterms:modified>
</cp:coreProperties>
</file>